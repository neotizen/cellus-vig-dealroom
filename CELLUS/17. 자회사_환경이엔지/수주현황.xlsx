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B6C17BED-7D77-4605-90A3-0B3F30C33379}" xr6:coauthVersionLast="47" xr6:coauthVersionMax="47" xr10:uidLastSave="{00000000-0000-0000-0000-000000000000}"/>
  <bookViews>
    <workbookView xWindow="-120" yWindow="-120" windowWidth="29040" windowHeight="15840" xr2:uid="{DB21A25F-115B-4BD3-B168-B30099161D75}"/>
  </bookViews>
  <sheets>
    <sheet name="2026년 기성수입" sheetId="1" r:id="rId1"/>
  </sheets>
  <definedNames>
    <definedName name="_xlnm._FilterDatabase" localSheetId="0" hidden="1">'2026년 기성수입'!$A$1:$D$56</definedName>
    <definedName name="_xlnm.Print_Area" localSheetId="0">'2026년 기성수입'!$A$1:$D$56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C19" i="1"/>
  <c r="C47" i="1"/>
  <c r="C8" i="1"/>
  <c r="C7" i="1"/>
  <c r="C6" i="1"/>
  <c r="C46" i="1"/>
  <c r="C45" i="1"/>
  <c r="C44" i="1"/>
  <c r="C16" i="1"/>
  <c r="C43" i="1"/>
  <c r="C29" i="1"/>
  <c r="C28" i="1"/>
  <c r="C18" i="1"/>
  <c r="C42" i="1"/>
  <c r="C41" i="1"/>
  <c r="C40" i="1"/>
  <c r="C39" i="1"/>
  <c r="C38" i="1"/>
  <c r="C5" i="1"/>
  <c r="C4" i="1"/>
  <c r="C3" i="1"/>
  <c r="C34" i="1"/>
  <c r="C37" i="1"/>
  <c r="C36" i="1"/>
  <c r="C35" i="1"/>
  <c r="C17" i="1"/>
  <c r="C30" i="1"/>
  <c r="C21" i="1"/>
  <c r="C15" i="1"/>
  <c r="C51" i="1"/>
  <c r="C12" i="1"/>
  <c r="C9" i="1"/>
  <c r="C27" i="1"/>
  <c r="C53" i="1"/>
  <c r="C52" i="1"/>
  <c r="C14" i="1"/>
  <c r="C50" i="1"/>
  <c r="C49" i="1"/>
  <c r="C5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이지안</author>
  </authors>
  <commentList>
    <comment ref="D34" authorId="0" shapeId="0" xr:uid="{9D1ED36C-9DDD-41C4-8925-B06861A25E8F}">
      <text>
        <r>
          <rPr>
            <b/>
            <sz val="9"/>
            <color indexed="81"/>
            <rFont val="돋움"/>
            <family val="3"/>
            <charset val="129"/>
          </rPr>
          <t>정리기간:
28.01.13~
28.02.12</t>
        </r>
      </text>
    </comment>
  </commentList>
</comments>
</file>

<file path=xl/sharedStrings.xml><?xml version="1.0" encoding="utf-8"?>
<sst xmlns="http://schemas.openxmlformats.org/spreadsheetml/2006/main" count="161" uniqueCount="128">
  <si>
    <t>현장명</t>
    <phoneticPr fontId="3" type="noConversion"/>
  </si>
  <si>
    <t>도급금액</t>
    <phoneticPr fontId="3" type="noConversion"/>
  </si>
  <si>
    <t>공사기간</t>
    <phoneticPr fontId="3" type="noConversion"/>
  </si>
  <si>
    <t>현대자동차그룹글로벌비즈니스센터신축공사 공조소방설비공사</t>
    <phoneticPr fontId="2" type="noConversion"/>
  </si>
  <si>
    <t>20.02.25
26.12.05</t>
    <phoneticPr fontId="2" type="noConversion"/>
  </si>
  <si>
    <t>현대건설㈜</t>
    <phoneticPr fontId="2" type="noConversion"/>
  </si>
  <si>
    <t>한국토지주택공사</t>
    <phoneticPr fontId="2" type="noConversion"/>
  </si>
  <si>
    <t>힐스테이트 삼성 공조설비공사</t>
    <phoneticPr fontId="2" type="noConversion"/>
  </si>
  <si>
    <t>23.05.16
26.06.14</t>
    <phoneticPr fontId="2" type="noConversion"/>
  </si>
  <si>
    <t>삼성동 144-6 오피스텔 신축공사 중 (기계소방공사)</t>
    <phoneticPr fontId="2" type="noConversion"/>
  </si>
  <si>
    <t>23.05.10
26.06.30</t>
    <phoneticPr fontId="2" type="noConversion"/>
  </si>
  <si>
    <t>(유)디에이치개발</t>
    <phoneticPr fontId="2" type="noConversion"/>
  </si>
  <si>
    <t>마포신수동 지역주택조합 공조소방설비공사</t>
    <phoneticPr fontId="2" type="noConversion"/>
  </si>
  <si>
    <t>23.07.11
26.07.25</t>
    <phoneticPr fontId="2" type="noConversion"/>
  </si>
  <si>
    <t>아크로 여의도 더원 일반설비공사</t>
    <phoneticPr fontId="2" type="noConversion"/>
  </si>
  <si>
    <t>23.07.25
26.11.16</t>
    <phoneticPr fontId="2" type="noConversion"/>
  </si>
  <si>
    <t>디엘이앤씨㈜</t>
    <phoneticPr fontId="2" type="noConversion"/>
  </si>
  <si>
    <t>"서울특별시 영등포구 여의도동 25-11 복합시설" 소방기계설비공사</t>
    <phoneticPr fontId="2" type="noConversion"/>
  </si>
  <si>
    <t>23.11.16
26.11.30</t>
    <phoneticPr fontId="2" type="noConversion"/>
  </si>
  <si>
    <t>원트웬티파이브피에프브이㈜</t>
    <phoneticPr fontId="2" type="noConversion"/>
  </si>
  <si>
    <t>동부건설㈜</t>
    <phoneticPr fontId="2" type="noConversion"/>
  </si>
  <si>
    <t>경기광주민간공원공동주택 기계설비및소방공사(2공구)</t>
    <phoneticPr fontId="2" type="noConversion"/>
  </si>
  <si>
    <t>24.01.10
26.03.31</t>
    <phoneticPr fontId="2" type="noConversion"/>
  </si>
  <si>
    <t>주식회사 동원건설</t>
    <phoneticPr fontId="2" type="noConversion"/>
  </si>
  <si>
    <t>경기광주민간공원공동주택 가설배관및임시소방공사(2공구)</t>
    <phoneticPr fontId="2" type="noConversion"/>
  </si>
  <si>
    <t>24.01.09
26.03.31</t>
    <phoneticPr fontId="2" type="noConversion"/>
  </si>
  <si>
    <t>서울 개봉역 림괄지역주택조합 신축공사 가설수도공사</t>
    <phoneticPr fontId="2" type="noConversion"/>
  </si>
  <si>
    <t>24.02.07
26.07.31</t>
    <phoneticPr fontId="2" type="noConversion"/>
  </si>
  <si>
    <t>두산건설㈜</t>
    <phoneticPr fontId="2" type="noConversion"/>
  </si>
  <si>
    <t>삼척의료원 이전신축 임대형민간투자사업</t>
    <phoneticPr fontId="2" type="noConversion"/>
  </si>
  <si>
    <t>24.03.04
26.02.28</t>
    <phoneticPr fontId="2" type="noConversion"/>
  </si>
  <si>
    <t>삼척의료원 이전신축 임대형민간투자사업 소화가스설비공사</t>
    <phoneticPr fontId="2" type="noConversion"/>
  </si>
  <si>
    <t>24.06.03
26.02.28</t>
    <phoneticPr fontId="2" type="noConversion"/>
  </si>
  <si>
    <t>평택 345kV 변전소 신축공사(가설)</t>
    <phoneticPr fontId="2" type="noConversion"/>
  </si>
  <si>
    <t>24.03.29
26.08.31</t>
    <phoneticPr fontId="2" type="noConversion"/>
  </si>
  <si>
    <t>㈜한라</t>
    <phoneticPr fontId="2" type="noConversion"/>
  </si>
  <si>
    <t>평택 345kV 변전소 신축공사 기계설비공사</t>
    <phoneticPr fontId="2" type="noConversion"/>
  </si>
  <si>
    <t>24.04.22
26.08.31</t>
    <phoneticPr fontId="2" type="noConversion"/>
  </si>
  <si>
    <t>24.06.12
26.05.31</t>
    <phoneticPr fontId="2" type="noConversion"/>
  </si>
  <si>
    <t>현대엔지니어링㈜</t>
    <phoneticPr fontId="2" type="noConversion"/>
  </si>
  <si>
    <t>24.06.12
26.03.31</t>
    <phoneticPr fontId="2" type="noConversion"/>
  </si>
  <si>
    <t>㈜대우건설</t>
    <phoneticPr fontId="2" type="noConversion"/>
  </si>
  <si>
    <t>평택 화양지구 도시개발사업 9-2BL 공동주택 신축사업 중 기계소방설비공사</t>
    <phoneticPr fontId="2" type="noConversion"/>
  </si>
  <si>
    <t>24.10.15
26.10.31</t>
    <phoneticPr fontId="2" type="noConversion"/>
  </si>
  <si>
    <t>주식회사 디에이치화양개발</t>
    <phoneticPr fontId="2" type="noConversion"/>
  </si>
  <si>
    <t>영통자이센트럴파크(경기)</t>
    <phoneticPr fontId="2" type="noConversion"/>
  </si>
  <si>
    <t>24.09.05
27.02.28</t>
    <phoneticPr fontId="2" type="noConversion"/>
  </si>
  <si>
    <t>지에스건설주식회사</t>
    <phoneticPr fontId="2" type="noConversion"/>
  </si>
  <si>
    <t>영통자이 센트럴파크(경기) 소방공사</t>
    <phoneticPr fontId="2" type="noConversion"/>
  </si>
  <si>
    <t>24.11.13
27.02.28</t>
    <phoneticPr fontId="2" type="noConversion"/>
  </si>
  <si>
    <t>교보자산신탁 주식회사</t>
    <phoneticPr fontId="2" type="noConversion"/>
  </si>
  <si>
    <t>라온건설㈜</t>
    <phoneticPr fontId="2" type="noConversion"/>
  </si>
  <si>
    <t>대한항공 인천공항 T2 IOC(인천운영센터) 건립공사(소방)</t>
    <phoneticPr fontId="2" type="noConversion"/>
  </si>
  <si>
    <t>25.01.20
27.02.20</t>
    <phoneticPr fontId="2" type="noConversion"/>
  </si>
  <si>
    <t>㈜대한항공</t>
    <phoneticPr fontId="2" type="noConversion"/>
  </si>
  <si>
    <t>대한항공 인천공항 T2 IOC(인천운영센터) 건립공사(기계)</t>
    <phoneticPr fontId="2" type="noConversion"/>
  </si>
  <si>
    <t>25.05.30
27.03.31</t>
    <phoneticPr fontId="2" type="noConversion"/>
  </si>
  <si>
    <r>
      <t>반포주공1단지(1</t>
    </r>
    <r>
      <rPr>
        <b/>
        <sz val="11"/>
        <rFont val="맑은 고딕"/>
        <family val="3"/>
        <charset val="129"/>
      </rPr>
      <t>∙2∙4주구) 주택재건축 중 공조.소방설비(3공구)</t>
    </r>
    <phoneticPr fontId="2" type="noConversion"/>
  </si>
  <si>
    <t>24.12.16
27.11.28</t>
    <phoneticPr fontId="2" type="noConversion"/>
  </si>
  <si>
    <t>인천 신흥동3가 지역주택조합 주상복합 신축공사 중 기계설비공사</t>
    <phoneticPr fontId="2" type="noConversion"/>
  </si>
  <si>
    <t>25.02.19
27.06.30</t>
    <phoneticPr fontId="2" type="noConversion"/>
  </si>
  <si>
    <t>인천 신흥동3가 지역주택조합 주상복합 신축공사 중 소방기계설비</t>
    <phoneticPr fontId="2" type="noConversion"/>
  </si>
  <si>
    <t>25.02.18
27.06.30</t>
    <phoneticPr fontId="2" type="noConversion"/>
  </si>
  <si>
    <t>인천신흥동3가 지역주택조합</t>
    <phoneticPr fontId="2" type="noConversion"/>
  </si>
  <si>
    <t>인천효성구역도시개발사업 공동주택 건설사업 신축현장 기계소화설비공사(1공구)</t>
    <phoneticPr fontId="2" type="noConversion"/>
  </si>
  <si>
    <t>24.12.26
27.11.30</t>
    <phoneticPr fontId="2" type="noConversion"/>
  </si>
  <si>
    <t>주식회사 제이케이도시개발</t>
    <phoneticPr fontId="2" type="noConversion"/>
  </si>
  <si>
    <t>서남병원 증축 및 리모델링 기계공사</t>
    <phoneticPr fontId="2" type="noConversion"/>
  </si>
  <si>
    <t>25.03.24
27.03.31</t>
    <phoneticPr fontId="2" type="noConversion"/>
  </si>
  <si>
    <t>서울특별시</t>
    <phoneticPr fontId="2" type="noConversion"/>
  </si>
  <si>
    <t>프로젝트 팀북투 데이터센터 옥외가설급수공사</t>
    <phoneticPr fontId="2" type="noConversion"/>
  </si>
  <si>
    <t>25.07.11
26.07.10</t>
    <phoneticPr fontId="2" type="noConversion"/>
  </si>
  <si>
    <t>현대건설(주)</t>
    <phoneticPr fontId="2" type="noConversion"/>
  </si>
  <si>
    <t>사당3동 지역주택조합 공조소화설비공사</t>
    <phoneticPr fontId="2" type="noConversion"/>
  </si>
  <si>
    <t>25.07.21
28.04.16</t>
    <phoneticPr fontId="2" type="noConversion"/>
  </si>
  <si>
    <t>흑석9 재정비촉진구역 주택재개발정비사업(옥외가설수도배관공사)</t>
    <phoneticPr fontId="2" type="noConversion"/>
  </si>
  <si>
    <t>25.07.25
26.07.24</t>
    <phoneticPr fontId="2" type="noConversion"/>
  </si>
  <si>
    <t>원주무실 A-2BL 아파트 소방시설공사 2공구</t>
    <phoneticPr fontId="2" type="noConversion"/>
  </si>
  <si>
    <t>25.09.02
28.01.12</t>
    <phoneticPr fontId="2" type="noConversion"/>
  </si>
  <si>
    <t>인천검단 신도시 AA28BL 공동주택 신축공사 기계설비공사</t>
    <phoneticPr fontId="2" type="noConversion"/>
  </si>
  <si>
    <t>25.08.12
27.12.30</t>
    <phoneticPr fontId="2" type="noConversion"/>
  </si>
  <si>
    <t>(주)대우건설</t>
    <phoneticPr fontId="2" type="noConversion"/>
  </si>
  <si>
    <t>인천검단 신도시 AA28BL 공동주택 신축공사 소방설비공사</t>
    <phoneticPr fontId="2" type="noConversion"/>
  </si>
  <si>
    <t>인천검단 신도시 AA28BL 공동주택 신축공사 가설(기계)</t>
    <phoneticPr fontId="2" type="noConversion"/>
  </si>
  <si>
    <t>방배삼호아파트12동13동(옥외가설배관공사)_디에이치 르피크</t>
    <phoneticPr fontId="2" type="noConversion"/>
  </si>
  <si>
    <t>25.09.19
26.09.08</t>
    <phoneticPr fontId="2" type="noConversion"/>
  </si>
  <si>
    <t>배곧서울대학교병원 건립공사 옥외가설배관공사</t>
    <phoneticPr fontId="2" type="noConversion"/>
  </si>
  <si>
    <t>25.10.01
26.04.30</t>
    <phoneticPr fontId="2" type="noConversion"/>
  </si>
  <si>
    <t>부산 범천1-1구역 도시환경정비사업(옥외가설배관공사)</t>
    <phoneticPr fontId="2" type="noConversion"/>
  </si>
  <si>
    <t>25.10.27
26.09.30</t>
    <phoneticPr fontId="2" type="noConversion"/>
  </si>
  <si>
    <t>고려대 자연계 중앙광장 신축공사(옥외가설배관공사)</t>
    <phoneticPr fontId="2" type="noConversion"/>
  </si>
  <si>
    <t>25.10.31
26.10.30</t>
    <phoneticPr fontId="2" type="noConversion"/>
  </si>
  <si>
    <t>광명11R구역 주택재개발정비사업조합(초기옥외가설배관공사)</t>
    <phoneticPr fontId="2" type="noConversion"/>
  </si>
  <si>
    <t>25.11.14
26.11.13</t>
    <phoneticPr fontId="2" type="noConversion"/>
  </si>
  <si>
    <t>대구신세계 리뉴얼 공사 일반설비공사</t>
    <phoneticPr fontId="2" type="noConversion"/>
  </si>
  <si>
    <t>25.11.26
27.02.28</t>
    <phoneticPr fontId="2" type="noConversion"/>
  </si>
  <si>
    <t>신세계건설(주)</t>
    <phoneticPr fontId="2" type="noConversion"/>
  </si>
  <si>
    <t>주식회사 신세계 동대구복합환승센터</t>
    <phoneticPr fontId="2" type="noConversion"/>
  </si>
  <si>
    <t>대구점 3,4,6층 리뉴얼 소방배관 교체공사</t>
    <phoneticPr fontId="2" type="noConversion"/>
  </si>
  <si>
    <t>26.03.10
27.02.28</t>
    <phoneticPr fontId="2" type="noConversion"/>
  </si>
  <si>
    <t>영동대로 지하공간 복합개발 3공구 남측연결도로 옥외가설배관공사</t>
    <phoneticPr fontId="2" type="noConversion"/>
  </si>
  <si>
    <t>25.12.29
26.12.31</t>
    <phoneticPr fontId="2" type="noConversion"/>
  </si>
  <si>
    <t>용인 영덕지구 라온프라이빗 아르디에 공동주택 신축공사 중 가설수도공사</t>
  </si>
  <si>
    <t>26.01.23
28.03.31</t>
    <phoneticPr fontId="2" type="noConversion"/>
  </si>
  <si>
    <t>03HS레이크송도3차(급탕배관 연결부속)</t>
    <phoneticPr fontId="2" type="noConversion"/>
  </si>
  <si>
    <t>26.03.06
26.07.31</t>
    <phoneticPr fontId="2" type="noConversion"/>
  </si>
  <si>
    <t>평택고덕 A-56BL 민간참여 공공주택건설공사 기계설비공사(2공구)</t>
    <phoneticPr fontId="2" type="noConversion"/>
  </si>
  <si>
    <t>26.03.10
28.09.30</t>
    <phoneticPr fontId="2" type="noConversion"/>
  </si>
  <si>
    <t>평택고덕 A-56BL 민간참여 공공주택건설공사 소방설비공사(2공구)</t>
    <phoneticPr fontId="2" type="noConversion"/>
  </si>
  <si>
    <t>평택고덕 A-56BL 민간참여 공공주택건설공사 가설(기계)(2공구)</t>
    <phoneticPr fontId="2" type="noConversion"/>
  </si>
  <si>
    <t>더현대광주 신축공사 옥외가설배관공사</t>
    <phoneticPr fontId="2" type="noConversion"/>
  </si>
  <si>
    <t>26.03.16
27.03.15</t>
    <phoneticPr fontId="2" type="noConversion"/>
  </si>
  <si>
    <t>김해 안동 지역주택조합 공동주택 신축사업 기계설비_1공구</t>
    <phoneticPr fontId="2" type="noConversion"/>
  </si>
  <si>
    <t>26.03.19
29.04.16</t>
    <phoneticPr fontId="2" type="noConversion"/>
  </si>
  <si>
    <t>에이치엘디앤아이한라 주식회사</t>
    <phoneticPr fontId="2" type="noConversion"/>
  </si>
  <si>
    <t>합      계</t>
    <phoneticPr fontId="3" type="noConversion"/>
  </si>
  <si>
    <t>현대자동차 양재 사옥 로비 리노베이션 기계설비공사(2공구)</t>
  </si>
  <si>
    <t>현대자동차 양재 사옥 로비 리노베이션 옥내가설설비공사(2공구)</t>
  </si>
  <si>
    <t>평택 화양지구 도시개발사업 9-2BL 공동주택 신축사업 기계설비공사</t>
  </si>
  <si>
    <t>24.07.18
26.10.31</t>
  </si>
  <si>
    <t>평택 화양지구 도시개발사업 9-2BL 공동주택 신축사업 가설(기계)</t>
  </si>
  <si>
    <t>대구신세계 5/8/9층 문화홀 소방기계 공사</t>
  </si>
  <si>
    <t>26.02.01
26.05.31</t>
  </si>
  <si>
    <t>25-F-K지역 시설공사 옥외가설급수배관공사(강릉군부대)</t>
  </si>
  <si>
    <t>26.02.25
27.02.24</t>
  </si>
  <si>
    <t>구로 항동 데이터센터 신축공사 옥외가설급수배관공사</t>
  </si>
  <si>
    <t>26.02.20
27.06.30</t>
  </si>
  <si>
    <t>건설사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</si>
</sst>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b/>
      <sz val="14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sz val="9"/>
      <name val="굴림체"/>
      <family val="3"/>
      <charset val="129"/>
    </font>
    <font>
      <b/>
      <sz val="11"/>
      <name val="맑은 고딕"/>
      <family val="3"/>
      <charset val="129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176" fontId="7" fillId="2" borderId="0" xfId="1" applyFont="1" applyFill="1" applyBorder="1" applyAlignment="1">
      <alignment horizontal="center" vertical="center" shrinkToFit="1"/>
    </xf>
    <xf numFmtId="0" fontId="5" fillId="2" borderId="0" xfId="0" applyFont="1" applyFill="1">
      <alignment vertical="center"/>
    </xf>
    <xf numFmtId="0" fontId="4" fillId="3" borderId="2" xfId="0" applyFont="1" applyFill="1" applyBorder="1" applyAlignment="1">
      <alignment horizontal="center" vertical="center" shrinkToFit="1"/>
    </xf>
    <xf numFmtId="176" fontId="4" fillId="3" borderId="3" xfId="1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176" fontId="4" fillId="3" borderId="5" xfId="1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176" fontId="4" fillId="3" borderId="7" xfId="1" applyFont="1" applyFill="1" applyBorder="1" applyAlignment="1">
      <alignment vertical="center"/>
    </xf>
    <xf numFmtId="0" fontId="4" fillId="3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 shrinkToFit="1"/>
    </xf>
    <xf numFmtId="176" fontId="4" fillId="4" borderId="9" xfId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4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/>
    <xf numFmtId="0" fontId="4" fillId="4" borderId="10" xfId="0" applyFont="1" applyFill="1" applyBorder="1" applyAlignment="1">
      <alignment horizontal="center" vertical="center" shrinkToFit="1"/>
    </xf>
    <xf numFmtId="176" fontId="5" fillId="2" borderId="0" xfId="1" applyFont="1" applyFill="1" applyAlignment="1">
      <alignment vertical="center"/>
    </xf>
    <xf numFmtId="0" fontId="4" fillId="3" borderId="3" xfId="0" applyFont="1" applyFill="1" applyBorder="1" applyAlignment="1">
      <alignment vertical="center" wrapText="1"/>
    </xf>
    <xf numFmtId="176" fontId="4" fillId="3" borderId="4" xfId="1" applyFont="1" applyFill="1" applyBorder="1" applyAlignment="1">
      <alignment horizontal="left" vertical="center" wrapText="1" shrinkToFit="1"/>
    </xf>
    <xf numFmtId="176" fontId="4" fillId="3" borderId="6" xfId="1" applyFont="1" applyFill="1" applyBorder="1" applyAlignment="1">
      <alignment horizontal="left" vertical="center" shrinkToFit="1"/>
    </xf>
    <xf numFmtId="176" fontId="4" fillId="3" borderId="8" xfId="1" applyFont="1" applyFill="1" applyBorder="1" applyAlignment="1">
      <alignment horizontal="left" vertical="center" shrinkToFit="1"/>
    </xf>
    <xf numFmtId="176" fontId="4" fillId="3" borderId="8" xfId="1" applyFont="1" applyFill="1" applyBorder="1" applyAlignment="1">
      <alignment horizontal="left" vertical="center" wrapText="1" shrinkToFit="1"/>
    </xf>
    <xf numFmtId="176" fontId="7" fillId="2" borderId="0" xfId="1" applyFont="1" applyFill="1" applyBorder="1" applyAlignment="1">
      <alignment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3E2D6-90BD-4FA2-950A-007387C79182}">
  <sheetPr>
    <tabColor rgb="FFFF0000"/>
    <pageSetUpPr fitToPage="1"/>
  </sheetPr>
  <dimension ref="A1:D59"/>
  <sheetViews>
    <sheetView tabSelected="1" view="pageBreakPreview" zoomScaleNormal="80" zoomScaleSheetLayoutView="100" workbookViewId="0">
      <pane xSplit="4" ySplit="1" topLeftCell="E2" activePane="bottomRight" state="frozen"/>
      <selection pane="topRight" activeCell="F1" sqref="F1"/>
      <selection pane="bottomLeft" activeCell="A3" sqref="A3"/>
      <selection pane="bottomRight" activeCell="B9" sqref="B9"/>
    </sheetView>
  </sheetViews>
  <sheetFormatPr defaultColWidth="58.125" defaultRowHeight="18.75" x14ac:dyDescent="0.3"/>
  <cols>
    <col min="1" max="1" width="30.75" style="2" customWidth="1"/>
    <col min="2" max="2" width="72.5" style="1" customWidth="1"/>
    <col min="3" max="3" width="22.625" style="21" customWidth="1"/>
    <col min="4" max="4" width="15.625" style="1" customWidth="1"/>
    <col min="5" max="16384" width="58.125" style="3"/>
  </cols>
  <sheetData>
    <row r="1" spans="1:4" ht="33" customHeight="1" x14ac:dyDescent="0.3">
      <c r="A1" s="4" t="s">
        <v>127</v>
      </c>
      <c r="B1" s="16" t="s">
        <v>0</v>
      </c>
      <c r="C1" s="16" t="s">
        <v>1</v>
      </c>
      <c r="D1" s="16" t="s">
        <v>2</v>
      </c>
    </row>
    <row r="2" spans="1:4" s="7" customFormat="1" ht="33" customHeight="1" x14ac:dyDescent="0.3">
      <c r="A2" s="23" t="s">
        <v>11</v>
      </c>
      <c r="B2" s="22" t="s">
        <v>9</v>
      </c>
      <c r="C2" s="5">
        <v>3000000000</v>
      </c>
      <c r="D2" s="6" t="s">
        <v>10</v>
      </c>
    </row>
    <row r="3" spans="1:4" s="7" customFormat="1" ht="33" customHeight="1" x14ac:dyDescent="0.3">
      <c r="A3" s="24" t="s">
        <v>81</v>
      </c>
      <c r="B3" s="10" t="s">
        <v>79</v>
      </c>
      <c r="C3" s="9">
        <f>10329756000+358339200</f>
        <v>10688095200</v>
      </c>
      <c r="D3" s="8" t="s">
        <v>80</v>
      </c>
    </row>
    <row r="4" spans="1:4" s="7" customFormat="1" ht="33" customHeight="1" x14ac:dyDescent="0.3">
      <c r="A4" s="24" t="s">
        <v>81</v>
      </c>
      <c r="B4" s="10" t="s">
        <v>82</v>
      </c>
      <c r="C4" s="9">
        <f>7293838000+253023200</f>
        <v>7546861200</v>
      </c>
      <c r="D4" s="8" t="s">
        <v>80</v>
      </c>
    </row>
    <row r="5" spans="1:4" s="7" customFormat="1" ht="33" customHeight="1" x14ac:dyDescent="0.3">
      <c r="A5" s="25" t="s">
        <v>81</v>
      </c>
      <c r="B5" s="12" t="s">
        <v>83</v>
      </c>
      <c r="C5" s="11">
        <f>195406000+6778700</f>
        <v>202184700</v>
      </c>
      <c r="D5" s="8" t="s">
        <v>80</v>
      </c>
    </row>
    <row r="6" spans="1:4" s="7" customFormat="1" ht="33" customHeight="1" x14ac:dyDescent="0.3">
      <c r="A6" s="25" t="s">
        <v>81</v>
      </c>
      <c r="B6" s="12" t="s">
        <v>106</v>
      </c>
      <c r="C6" s="11">
        <f>6672000000+3069000</f>
        <v>6675069000</v>
      </c>
      <c r="D6" s="8" t="s">
        <v>107</v>
      </c>
    </row>
    <row r="7" spans="1:4" s="7" customFormat="1" ht="33" customHeight="1" x14ac:dyDescent="0.3">
      <c r="A7" s="25" t="s">
        <v>81</v>
      </c>
      <c r="B7" s="12" t="s">
        <v>108</v>
      </c>
      <c r="C7" s="11">
        <f>4704000000+2163800</f>
        <v>4706163800</v>
      </c>
      <c r="D7" s="8" t="s">
        <v>107</v>
      </c>
    </row>
    <row r="8" spans="1:4" s="7" customFormat="1" ht="33" customHeight="1" x14ac:dyDescent="0.3">
      <c r="A8" s="25" t="s">
        <v>81</v>
      </c>
      <c r="B8" s="12" t="s">
        <v>109</v>
      </c>
      <c r="C8" s="11">
        <f>215000000+98900</f>
        <v>215098900</v>
      </c>
      <c r="D8" s="8" t="s">
        <v>107</v>
      </c>
    </row>
    <row r="9" spans="1:4" s="7" customFormat="1" ht="33" customHeight="1" x14ac:dyDescent="0.3">
      <c r="A9" s="25" t="s">
        <v>50</v>
      </c>
      <c r="B9" s="12" t="s">
        <v>48</v>
      </c>
      <c r="C9" s="11">
        <f>5136969000+11815028</f>
        <v>5148784028</v>
      </c>
      <c r="D9" s="8" t="s">
        <v>49</v>
      </c>
    </row>
    <row r="10" spans="1:4" s="7" customFormat="1" ht="33" customHeight="1" x14ac:dyDescent="0.3">
      <c r="A10" s="26" t="s">
        <v>20</v>
      </c>
      <c r="B10" s="12" t="s">
        <v>29</v>
      </c>
      <c r="C10" s="11">
        <v>12980000000</v>
      </c>
      <c r="D10" s="8" t="s">
        <v>30</v>
      </c>
    </row>
    <row r="11" spans="1:4" s="7" customFormat="1" ht="33" customHeight="1" x14ac:dyDescent="0.3">
      <c r="A11" s="26" t="s">
        <v>20</v>
      </c>
      <c r="B11" s="12" t="s">
        <v>31</v>
      </c>
      <c r="C11" s="11">
        <v>352000000</v>
      </c>
      <c r="D11" s="13" t="s">
        <v>32</v>
      </c>
    </row>
    <row r="12" spans="1:4" s="7" customFormat="1" ht="33" customHeight="1" x14ac:dyDescent="0.3">
      <c r="A12" s="25" t="s">
        <v>20</v>
      </c>
      <c r="B12" s="12" t="s">
        <v>55</v>
      </c>
      <c r="C12" s="11">
        <f>5352000000+535200000</f>
        <v>5887200000</v>
      </c>
      <c r="D12" s="13" t="s">
        <v>56</v>
      </c>
    </row>
    <row r="13" spans="1:4" s="7" customFormat="1" ht="33" customHeight="1" x14ac:dyDescent="0.3">
      <c r="A13" s="26" t="s">
        <v>28</v>
      </c>
      <c r="B13" s="12" t="s">
        <v>26</v>
      </c>
      <c r="C13" s="11">
        <v>8790100</v>
      </c>
      <c r="D13" s="13" t="s">
        <v>27</v>
      </c>
    </row>
    <row r="14" spans="1:4" s="7" customFormat="1" ht="33" customHeight="1" x14ac:dyDescent="0.3">
      <c r="A14" s="26" t="s">
        <v>16</v>
      </c>
      <c r="B14" s="12" t="s">
        <v>14</v>
      </c>
      <c r="C14" s="11">
        <f>8793568000+879356800</f>
        <v>9672924800</v>
      </c>
      <c r="D14" s="13" t="s">
        <v>15</v>
      </c>
    </row>
    <row r="15" spans="1:4" s="7" customFormat="1" ht="32.25" customHeight="1" x14ac:dyDescent="0.3">
      <c r="A15" s="25" t="s">
        <v>51</v>
      </c>
      <c r="B15" s="12" t="s">
        <v>59</v>
      </c>
      <c r="C15" s="11">
        <f>2232957029+67042971</f>
        <v>2300000000</v>
      </c>
      <c r="D15" s="13" t="s">
        <v>60</v>
      </c>
    </row>
    <row r="16" spans="1:4" s="7" customFormat="1" ht="32.25" customHeight="1" x14ac:dyDescent="0.3">
      <c r="A16" s="25" t="s">
        <v>51</v>
      </c>
      <c r="B16" s="12" t="s">
        <v>102</v>
      </c>
      <c r="C16" s="11">
        <f>52009883+2460117</f>
        <v>54470000</v>
      </c>
      <c r="D16" s="13" t="s">
        <v>103</v>
      </c>
    </row>
    <row r="17" spans="1:4" s="7" customFormat="1" ht="32.25" customHeight="1" x14ac:dyDescent="0.3">
      <c r="A17" s="25" t="s">
        <v>69</v>
      </c>
      <c r="B17" s="12" t="s">
        <v>67</v>
      </c>
      <c r="C17" s="11">
        <f>4802181818+480218182</f>
        <v>5282400000</v>
      </c>
      <c r="D17" s="13" t="s">
        <v>68</v>
      </c>
    </row>
    <row r="18" spans="1:4" s="7" customFormat="1" ht="33" customHeight="1" x14ac:dyDescent="0.3">
      <c r="A18" s="25" t="s">
        <v>96</v>
      </c>
      <c r="B18" s="12" t="s">
        <v>94</v>
      </c>
      <c r="C18" s="11">
        <f>3779000000+377900000</f>
        <v>4156900000</v>
      </c>
      <c r="D18" s="13" t="s">
        <v>95</v>
      </c>
    </row>
    <row r="19" spans="1:4" s="7" customFormat="1" ht="32.25" customHeight="1" x14ac:dyDescent="0.3">
      <c r="A19" s="25" t="s">
        <v>114</v>
      </c>
      <c r="B19" s="12" t="s">
        <v>112</v>
      </c>
      <c r="C19" s="11">
        <f>4990000000+141735960</f>
        <v>5131735960</v>
      </c>
      <c r="D19" s="13" t="s">
        <v>113</v>
      </c>
    </row>
    <row r="20" spans="1:4" s="7" customFormat="1" ht="32.25" customHeight="1" x14ac:dyDescent="0.3">
      <c r="A20" s="26" t="s">
        <v>19</v>
      </c>
      <c r="B20" s="12" t="s">
        <v>17</v>
      </c>
      <c r="C20" s="11">
        <v>7691200000</v>
      </c>
      <c r="D20" s="13" t="s">
        <v>18</v>
      </c>
    </row>
    <row r="21" spans="1:4" s="7" customFormat="1" ht="33" customHeight="1" x14ac:dyDescent="0.3">
      <c r="A21" s="25" t="s">
        <v>63</v>
      </c>
      <c r="B21" s="12" t="s">
        <v>61</v>
      </c>
      <c r="C21" s="11">
        <f>9305605703+279394297</f>
        <v>9585000000</v>
      </c>
      <c r="D21" s="13" t="s">
        <v>62</v>
      </c>
    </row>
    <row r="22" spans="1:4" s="7" customFormat="1" ht="33" customHeight="1" x14ac:dyDescent="0.3">
      <c r="A22" s="25" t="s">
        <v>41</v>
      </c>
      <c r="B22" s="12" t="s">
        <v>118</v>
      </c>
      <c r="C22" s="11">
        <v>8500434400</v>
      </c>
      <c r="D22" s="13" t="s">
        <v>119</v>
      </c>
    </row>
    <row r="23" spans="1:4" s="7" customFormat="1" ht="33" customHeight="1" x14ac:dyDescent="0.3">
      <c r="A23" s="25" t="s">
        <v>41</v>
      </c>
      <c r="B23" s="12" t="s">
        <v>120</v>
      </c>
      <c r="C23" s="11">
        <v>161784300</v>
      </c>
      <c r="D23" s="13" t="s">
        <v>119</v>
      </c>
    </row>
    <row r="24" spans="1:4" s="7" customFormat="1" ht="33" customHeight="1" x14ac:dyDescent="0.3">
      <c r="A24" s="25" t="s">
        <v>54</v>
      </c>
      <c r="B24" s="12" t="s">
        <v>52</v>
      </c>
      <c r="C24" s="11">
        <v>1690700000</v>
      </c>
      <c r="D24" s="13" t="s">
        <v>53</v>
      </c>
    </row>
    <row r="25" spans="1:4" s="7" customFormat="1" ht="33" customHeight="1" x14ac:dyDescent="0.3">
      <c r="A25" s="26" t="s">
        <v>23</v>
      </c>
      <c r="B25" s="12" t="s">
        <v>21</v>
      </c>
      <c r="C25" s="11">
        <f>10163486859+416194786</f>
        <v>10579681645</v>
      </c>
      <c r="D25" s="13" t="s">
        <v>22</v>
      </c>
    </row>
    <row r="26" spans="1:4" s="7" customFormat="1" ht="33" customHeight="1" x14ac:dyDescent="0.3">
      <c r="A26" s="26" t="s">
        <v>23</v>
      </c>
      <c r="B26" s="12" t="s">
        <v>24</v>
      </c>
      <c r="C26" s="11">
        <v>156142500</v>
      </c>
      <c r="D26" s="13" t="s">
        <v>25</v>
      </c>
    </row>
    <row r="27" spans="1:4" s="7" customFormat="1" ht="33" customHeight="1" x14ac:dyDescent="0.3">
      <c r="A27" s="25" t="s">
        <v>44</v>
      </c>
      <c r="B27" s="14" t="s">
        <v>42</v>
      </c>
      <c r="C27" s="11">
        <f>5400000000+9504000</f>
        <v>5409504000</v>
      </c>
      <c r="D27" s="13" t="s">
        <v>43</v>
      </c>
    </row>
    <row r="28" spans="1:4" s="7" customFormat="1" ht="33" customHeight="1" x14ac:dyDescent="0.3">
      <c r="A28" s="25" t="s">
        <v>97</v>
      </c>
      <c r="B28" s="12" t="s">
        <v>121</v>
      </c>
      <c r="C28" s="11">
        <f>389600000*1.1</f>
        <v>428560000.00000006</v>
      </c>
      <c r="D28" s="13" t="s">
        <v>122</v>
      </c>
    </row>
    <row r="29" spans="1:4" s="7" customFormat="1" ht="33" customHeight="1" x14ac:dyDescent="0.3">
      <c r="A29" s="25" t="s">
        <v>97</v>
      </c>
      <c r="B29" s="12" t="s">
        <v>98</v>
      </c>
      <c r="C29" s="11">
        <f>2824700000*1.1</f>
        <v>3107170000.0000005</v>
      </c>
      <c r="D29" s="13" t="s">
        <v>99</v>
      </c>
    </row>
    <row r="30" spans="1:4" s="7" customFormat="1" ht="33" customHeight="1" x14ac:dyDescent="0.3">
      <c r="A30" s="25" t="s">
        <v>66</v>
      </c>
      <c r="B30" s="14" t="s">
        <v>64</v>
      </c>
      <c r="C30" s="11">
        <f>7471000000+373089786</f>
        <v>7844089786</v>
      </c>
      <c r="D30" s="13" t="s">
        <v>65</v>
      </c>
    </row>
    <row r="31" spans="1:4" s="7" customFormat="1" ht="33" customHeight="1" x14ac:dyDescent="0.3">
      <c r="A31" s="26" t="s">
        <v>35</v>
      </c>
      <c r="B31" s="12" t="s">
        <v>33</v>
      </c>
      <c r="C31" s="11">
        <v>6930000</v>
      </c>
      <c r="D31" s="13" t="s">
        <v>34</v>
      </c>
    </row>
    <row r="32" spans="1:4" s="7" customFormat="1" ht="33" customHeight="1" x14ac:dyDescent="0.3">
      <c r="A32" s="26" t="s">
        <v>35</v>
      </c>
      <c r="B32" s="12" t="s">
        <v>36</v>
      </c>
      <c r="C32" s="11">
        <v>1665085400</v>
      </c>
      <c r="D32" s="13" t="s">
        <v>37</v>
      </c>
    </row>
    <row r="33" spans="1:4" s="7" customFormat="1" ht="33" customHeight="1" x14ac:dyDescent="0.3">
      <c r="A33" s="25" t="s">
        <v>47</v>
      </c>
      <c r="B33" s="12" t="s">
        <v>45</v>
      </c>
      <c r="C33" s="11">
        <v>5202296000</v>
      </c>
      <c r="D33" s="13" t="s">
        <v>46</v>
      </c>
    </row>
    <row r="34" spans="1:4" s="7" customFormat="1" ht="33" customHeight="1" x14ac:dyDescent="0.3">
      <c r="A34" s="25" t="s">
        <v>6</v>
      </c>
      <c r="B34" s="12" t="s">
        <v>77</v>
      </c>
      <c r="C34" s="11">
        <f>4278272863+142920137</f>
        <v>4421193000</v>
      </c>
      <c r="D34" s="13" t="s">
        <v>78</v>
      </c>
    </row>
    <row r="35" spans="1:4" s="7" customFormat="1" ht="33" customHeight="1" x14ac:dyDescent="0.3">
      <c r="A35" s="25" t="s">
        <v>72</v>
      </c>
      <c r="B35" s="12" t="s">
        <v>70</v>
      </c>
      <c r="C35" s="11">
        <f>48000000+4800000</f>
        <v>52800000</v>
      </c>
      <c r="D35" s="13" t="s">
        <v>71</v>
      </c>
    </row>
    <row r="36" spans="1:4" s="7" customFormat="1" ht="33" customHeight="1" x14ac:dyDescent="0.3">
      <c r="A36" s="25" t="s">
        <v>72</v>
      </c>
      <c r="B36" s="12" t="s">
        <v>73</v>
      </c>
      <c r="C36" s="11">
        <f>12462000000+79756800</f>
        <v>12541756800</v>
      </c>
      <c r="D36" s="13" t="s">
        <v>74</v>
      </c>
    </row>
    <row r="37" spans="1:4" s="7" customFormat="1" ht="33" customHeight="1" x14ac:dyDescent="0.3">
      <c r="A37" s="25" t="s">
        <v>72</v>
      </c>
      <c r="B37" s="12" t="s">
        <v>75</v>
      </c>
      <c r="C37" s="11">
        <f>121340000+1163651</f>
        <v>122503651</v>
      </c>
      <c r="D37" s="13" t="s">
        <v>76</v>
      </c>
    </row>
    <row r="38" spans="1:4" s="7" customFormat="1" ht="33" customHeight="1" x14ac:dyDescent="0.3">
      <c r="A38" s="25" t="s">
        <v>72</v>
      </c>
      <c r="B38" s="12" t="s">
        <v>84</v>
      </c>
      <c r="C38" s="11">
        <f>30103000+2314318</f>
        <v>32417318</v>
      </c>
      <c r="D38" s="13" t="s">
        <v>85</v>
      </c>
    </row>
    <row r="39" spans="1:4" s="7" customFormat="1" ht="33" customHeight="1" x14ac:dyDescent="0.3">
      <c r="A39" s="25" t="s">
        <v>72</v>
      </c>
      <c r="B39" s="12" t="s">
        <v>86</v>
      </c>
      <c r="C39" s="11">
        <f>29282000+2928200</f>
        <v>32210200</v>
      </c>
      <c r="D39" s="13" t="s">
        <v>87</v>
      </c>
    </row>
    <row r="40" spans="1:4" s="7" customFormat="1" ht="33" customHeight="1" x14ac:dyDescent="0.3">
      <c r="A40" s="25" t="s">
        <v>72</v>
      </c>
      <c r="B40" s="12" t="s">
        <v>88</v>
      </c>
      <c r="C40" s="11">
        <f>69228000+1902385</f>
        <v>71130385</v>
      </c>
      <c r="D40" s="13" t="s">
        <v>89</v>
      </c>
    </row>
    <row r="41" spans="1:4" s="7" customFormat="1" ht="33" customHeight="1" x14ac:dyDescent="0.3">
      <c r="A41" s="25" t="s">
        <v>72</v>
      </c>
      <c r="B41" s="12" t="s">
        <v>90</v>
      </c>
      <c r="C41" s="11">
        <f>90415000+9041500</f>
        <v>99456500</v>
      </c>
      <c r="D41" s="13" t="s">
        <v>91</v>
      </c>
    </row>
    <row r="42" spans="1:4" s="7" customFormat="1" ht="33" customHeight="1" x14ac:dyDescent="0.3">
      <c r="A42" s="25" t="s">
        <v>72</v>
      </c>
      <c r="B42" s="12" t="s">
        <v>92</v>
      </c>
      <c r="C42" s="11">
        <f>234964000+23496400</f>
        <v>258460400</v>
      </c>
      <c r="D42" s="13" t="s">
        <v>93</v>
      </c>
    </row>
    <row r="43" spans="1:4" s="7" customFormat="1" ht="33" customHeight="1" x14ac:dyDescent="0.3">
      <c r="A43" s="25" t="s">
        <v>72</v>
      </c>
      <c r="B43" s="12" t="s">
        <v>100</v>
      </c>
      <c r="C43" s="11">
        <f>46900000+4690000</f>
        <v>51590000</v>
      </c>
      <c r="D43" s="13" t="s">
        <v>101</v>
      </c>
    </row>
    <row r="44" spans="1:4" s="7" customFormat="1" ht="33" customHeight="1" x14ac:dyDescent="0.3">
      <c r="A44" s="25" t="s">
        <v>72</v>
      </c>
      <c r="B44" s="12" t="s">
        <v>123</v>
      </c>
      <c r="C44" s="11">
        <f>118850000+11885000</f>
        <v>130735000</v>
      </c>
      <c r="D44" s="13" t="s">
        <v>124</v>
      </c>
    </row>
    <row r="45" spans="1:4" s="7" customFormat="1" ht="33" customHeight="1" x14ac:dyDescent="0.3">
      <c r="A45" s="25" t="s">
        <v>72</v>
      </c>
      <c r="B45" s="12" t="s">
        <v>125</v>
      </c>
      <c r="C45" s="11">
        <f>50470000+5047000</f>
        <v>55517000</v>
      </c>
      <c r="D45" s="13" t="s">
        <v>126</v>
      </c>
    </row>
    <row r="46" spans="1:4" s="7" customFormat="1" ht="33" customHeight="1" x14ac:dyDescent="0.3">
      <c r="A46" s="25" t="s">
        <v>72</v>
      </c>
      <c r="B46" s="12" t="s">
        <v>104</v>
      </c>
      <c r="C46" s="11">
        <f>314000000+31400000</f>
        <v>345400000</v>
      </c>
      <c r="D46" s="13" t="s">
        <v>105</v>
      </c>
    </row>
    <row r="47" spans="1:4" s="7" customFormat="1" ht="33" customHeight="1" x14ac:dyDescent="0.3">
      <c r="A47" s="25" t="s">
        <v>72</v>
      </c>
      <c r="B47" s="12" t="s">
        <v>110</v>
      </c>
      <c r="C47" s="11">
        <f>78258000+7825800</f>
        <v>86083800</v>
      </c>
      <c r="D47" s="13" t="s">
        <v>111</v>
      </c>
    </row>
    <row r="48" spans="1:4" s="7" customFormat="1" ht="33" customHeight="1" x14ac:dyDescent="0.3">
      <c r="A48" s="25" t="s">
        <v>5</v>
      </c>
      <c r="B48" s="17" t="s">
        <v>3</v>
      </c>
      <c r="C48" s="11">
        <v>492871500</v>
      </c>
      <c r="D48" s="13" t="s">
        <v>4</v>
      </c>
    </row>
    <row r="49" spans="1:4" s="7" customFormat="1" ht="33" customHeight="1" x14ac:dyDescent="0.3">
      <c r="A49" s="26" t="s">
        <v>5</v>
      </c>
      <c r="B49" s="12" t="s">
        <v>7</v>
      </c>
      <c r="C49" s="11">
        <f>3219800000+321980000</f>
        <v>3541780000</v>
      </c>
      <c r="D49" s="13" t="s">
        <v>8</v>
      </c>
    </row>
    <row r="50" spans="1:4" s="7" customFormat="1" ht="33" customHeight="1" x14ac:dyDescent="0.3">
      <c r="A50" s="26" t="s">
        <v>5</v>
      </c>
      <c r="B50" s="12" t="s">
        <v>12</v>
      </c>
      <c r="C50" s="11">
        <f>9581700000+88439091</f>
        <v>9670139091</v>
      </c>
      <c r="D50" s="13" t="s">
        <v>13</v>
      </c>
    </row>
    <row r="51" spans="1:4" s="7" customFormat="1" ht="33" customHeight="1" x14ac:dyDescent="0.3">
      <c r="A51" s="25" t="s">
        <v>5</v>
      </c>
      <c r="B51" s="12" t="s">
        <v>57</v>
      </c>
      <c r="C51" s="11">
        <f>17797000000+1042014350</f>
        <v>18839014350</v>
      </c>
      <c r="D51" s="13" t="s">
        <v>58</v>
      </c>
    </row>
    <row r="52" spans="1:4" s="7" customFormat="1" ht="33" customHeight="1" x14ac:dyDescent="0.3">
      <c r="A52" s="25" t="s">
        <v>39</v>
      </c>
      <c r="B52" s="12" t="s">
        <v>116</v>
      </c>
      <c r="C52" s="11">
        <f>8902000000+890200000</f>
        <v>9792200000</v>
      </c>
      <c r="D52" s="13" t="s">
        <v>38</v>
      </c>
    </row>
    <row r="53" spans="1:4" s="7" customFormat="1" ht="33" customHeight="1" x14ac:dyDescent="0.3">
      <c r="A53" s="25" t="s">
        <v>39</v>
      </c>
      <c r="B53" s="12" t="s">
        <v>117</v>
      </c>
      <c r="C53" s="11">
        <f>115000000+11500000</f>
        <v>126500000</v>
      </c>
      <c r="D53" s="13" t="s">
        <v>40</v>
      </c>
    </row>
    <row r="54" spans="1:4" s="7" customFormat="1" ht="33" customHeight="1" x14ac:dyDescent="0.3">
      <c r="A54" s="25"/>
      <c r="B54" s="12"/>
      <c r="C54" s="11"/>
      <c r="D54" s="13"/>
    </row>
    <row r="55" spans="1:4" s="7" customFormat="1" ht="33" customHeight="1" x14ac:dyDescent="0.3">
      <c r="A55" s="25"/>
      <c r="B55" s="17"/>
      <c r="C55" s="11"/>
      <c r="D55" s="13"/>
    </row>
    <row r="56" spans="1:4" ht="33" customHeight="1" thickBot="1" x14ac:dyDescent="0.2">
      <c r="A56" s="20"/>
      <c r="B56" s="18" t="s">
        <v>115</v>
      </c>
      <c r="C56" s="15">
        <f>SUM(C2:C55)</f>
        <v>206801014714</v>
      </c>
      <c r="D56" s="19"/>
    </row>
    <row r="58" spans="1:4" x14ac:dyDescent="0.3">
      <c r="A58" s="27"/>
    </row>
    <row r="59" spans="1:4" x14ac:dyDescent="0.3">
      <c r="A59" s="27"/>
    </row>
  </sheetData>
  <autoFilter ref="A1:D56" xr:uid="{A573E2D6-90BD-4FA2-950A-007387C79182}">
    <sortState xmlns:xlrd2="http://schemas.microsoft.com/office/spreadsheetml/2017/richdata2" ref="A2:D56">
      <sortCondition ref="A1:A56"/>
    </sortState>
  </autoFilter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2026년 기성수입</vt:lpstr>
      <vt:lpstr>'2026년 기성수입'!Print_Area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2026-04-02T23:19:59Z</dcterms:created>
  <dcterms:modified xsi:type="dcterms:W3CDTF">2026-04-02T23:29:11Z</dcterms:modified>
</cp:coreProperties>
</file>